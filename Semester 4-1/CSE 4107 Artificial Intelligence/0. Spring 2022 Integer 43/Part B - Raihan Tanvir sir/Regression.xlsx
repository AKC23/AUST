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eaching\AUST\CSE4107\AI Lecture Slides\"/>
    </mc:Choice>
  </mc:AlternateContent>
  <xr:revisionPtr revIDLastSave="0" documentId="13_ncr:1_{32A7F983-0912-40B2-9576-851B1DC28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I/+t2FNPJfAXicD2ix1CMzkvKUQ=="/>
    </ext>
  </extLst>
</workbook>
</file>

<file path=xl/calcChain.xml><?xml version="1.0" encoding="utf-8"?>
<calcChain xmlns="http://schemas.openxmlformats.org/spreadsheetml/2006/main">
  <c r="J16" i="2" l="1"/>
  <c r="M5" i="2"/>
  <c r="M10" i="2" s="1"/>
  <c r="C13" i="2"/>
  <c r="B13" i="2"/>
  <c r="E3" i="2"/>
  <c r="E4" i="2"/>
  <c r="E5" i="2"/>
  <c r="E6" i="2"/>
  <c r="E7" i="2"/>
  <c r="E8" i="2"/>
  <c r="E9" i="2"/>
  <c r="E10" i="2"/>
  <c r="E11" i="2"/>
  <c r="E2" i="2"/>
  <c r="C12" i="2"/>
  <c r="B12" i="2"/>
  <c r="D3" i="2"/>
  <c r="D4" i="2"/>
  <c r="D5" i="2"/>
  <c r="D6" i="2"/>
  <c r="D7" i="2"/>
  <c r="D8" i="2"/>
  <c r="D9" i="2"/>
  <c r="D10" i="2"/>
  <c r="D11" i="2"/>
  <c r="D2" i="2"/>
  <c r="F20" i="1"/>
  <c r="F18" i="1"/>
  <c r="B14" i="1"/>
  <c r="A14" i="1"/>
  <c r="C7" i="1" s="1"/>
  <c r="D12" i="2" l="1"/>
  <c r="E12" i="2"/>
  <c r="D7" i="1"/>
  <c r="E10" i="1"/>
  <c r="C11" i="1"/>
  <c r="E2" i="1"/>
  <c r="E11" i="1"/>
  <c r="C6" i="1"/>
  <c r="C9" i="1"/>
  <c r="E6" i="1"/>
  <c r="E9" i="1"/>
  <c r="C10" i="1"/>
  <c r="C2" i="1"/>
  <c r="C5" i="1"/>
  <c r="C8" i="1"/>
  <c r="E5" i="1"/>
  <c r="E8" i="1"/>
  <c r="C3" i="1"/>
  <c r="E3" i="1"/>
  <c r="C4" i="1"/>
  <c r="E4" i="1"/>
  <c r="E7" i="1"/>
  <c r="F7" i="1" s="1"/>
  <c r="F4" i="1" l="1"/>
  <c r="D4" i="1"/>
  <c r="F2" i="1"/>
  <c r="D2" i="1"/>
  <c r="D9" i="1"/>
  <c r="F9" i="1"/>
  <c r="F8" i="1"/>
  <c r="D8" i="1"/>
  <c r="D10" i="1"/>
  <c r="F10" i="1"/>
  <c r="F6" i="1"/>
  <c r="D6" i="1"/>
  <c r="D3" i="1"/>
  <c r="F3" i="1"/>
  <c r="F11" i="1"/>
  <c r="D11" i="1"/>
  <c r="D5" i="1"/>
  <c r="F5" i="1"/>
  <c r="D14" i="1" l="1"/>
  <c r="F14" i="1"/>
  <c r="I7" i="1" l="1"/>
</calcChain>
</file>

<file path=xl/sharedStrings.xml><?xml version="1.0" encoding="utf-8"?>
<sst xmlns="http://schemas.openxmlformats.org/spreadsheetml/2006/main" count="32" uniqueCount="26">
  <si>
    <t>X - Xmean</t>
  </si>
  <si>
    <t>(X - Xmean)^2</t>
  </si>
  <si>
    <t>Y - Ymean</t>
  </si>
  <si>
    <t>(X-Xmean)*(Y-Ymean)</t>
  </si>
  <si>
    <r>
      <rPr>
        <b/>
        <sz val="12"/>
        <color rgb="FF000000"/>
        <rFont val="Calibri"/>
      </rPr>
      <t xml:space="preserve">Y = </t>
    </r>
    <r>
      <rPr>
        <b/>
        <sz val="12"/>
        <color rgb="FF000000"/>
        <rFont val="Symbol"/>
      </rPr>
      <t>a</t>
    </r>
    <r>
      <rPr>
        <b/>
        <sz val="12"/>
        <color rgb="FF000000"/>
        <rFont val="Calibri"/>
      </rPr>
      <t xml:space="preserve">X + </t>
    </r>
    <r>
      <rPr>
        <b/>
        <sz val="12"/>
        <color rgb="FF000000"/>
        <rFont val="Symbol"/>
      </rPr>
      <t>b</t>
    </r>
  </si>
  <si>
    <t>Y =</t>
  </si>
  <si>
    <t>Xmean</t>
  </si>
  <si>
    <t>Ymean</t>
  </si>
  <si>
    <t>Sum((X-Xmean)^2)</t>
  </si>
  <si>
    <t>Sum((X-Xmean)*(Y-Ymean))</t>
  </si>
  <si>
    <r>
      <rPr>
        <b/>
        <sz val="14"/>
        <color rgb="FF000000"/>
        <rFont val="Symbol"/>
      </rPr>
      <t>a</t>
    </r>
    <r>
      <rPr>
        <b/>
        <sz val="14"/>
        <color rgb="FF000000"/>
        <rFont val="Calibri"/>
      </rPr>
      <t xml:space="preserve"> = </t>
    </r>
    <r>
      <rPr>
        <b/>
        <sz val="14"/>
        <color rgb="FF000000"/>
        <rFont val="Symbol"/>
      </rPr>
      <t>S</t>
    </r>
    <r>
      <rPr>
        <b/>
        <vertAlign val="subscript"/>
        <sz val="14"/>
        <color rgb="FF000000"/>
        <rFont val="Calibri"/>
      </rPr>
      <t>i=1:s</t>
    </r>
    <r>
      <rPr>
        <b/>
        <sz val="14"/>
        <color rgb="FF000000"/>
        <rFont val="Calibri"/>
      </rPr>
      <t xml:space="preserve"> (x</t>
    </r>
    <r>
      <rPr>
        <b/>
        <vertAlign val="subscript"/>
        <sz val="14"/>
        <color rgb="FF000000"/>
        <rFont val="Calibri"/>
      </rPr>
      <t>i</t>
    </r>
    <r>
      <rPr>
        <b/>
        <sz val="14"/>
        <color rgb="FF000000"/>
        <rFont val="Calibri"/>
      </rPr>
      <t xml:space="preserve"> – x</t>
    </r>
    <r>
      <rPr>
        <b/>
        <sz val="14"/>
        <color rgb="FF000000"/>
        <rFont val="Symbol"/>
      </rPr>
      <t>¢</t>
    </r>
    <r>
      <rPr>
        <b/>
        <sz val="14"/>
        <color rgb="FF000000"/>
        <rFont val="Calibri"/>
      </rPr>
      <t>) (y</t>
    </r>
    <r>
      <rPr>
        <b/>
        <vertAlign val="subscript"/>
        <sz val="14"/>
        <color rgb="FF000000"/>
        <rFont val="Calibri"/>
      </rPr>
      <t>i</t>
    </r>
    <r>
      <rPr>
        <b/>
        <sz val="14"/>
        <color rgb="FF000000"/>
        <rFont val="Calibri"/>
      </rPr>
      <t>- y</t>
    </r>
    <r>
      <rPr>
        <b/>
        <sz val="14"/>
        <color rgb="FF000000"/>
        <rFont val="Symbol"/>
      </rPr>
      <t>¢</t>
    </r>
    <r>
      <rPr>
        <b/>
        <sz val="14"/>
        <color rgb="FF000000"/>
        <rFont val="Calibri"/>
      </rPr>
      <t xml:space="preserve">) / </t>
    </r>
    <r>
      <rPr>
        <b/>
        <sz val="14"/>
        <color rgb="FF000000"/>
        <rFont val="Symbol"/>
      </rPr>
      <t>S</t>
    </r>
    <r>
      <rPr>
        <b/>
        <vertAlign val="subscript"/>
        <sz val="14"/>
        <color rgb="FF000000"/>
        <rFont val="Calibri"/>
      </rPr>
      <t>i=1:s</t>
    </r>
    <r>
      <rPr>
        <b/>
        <sz val="14"/>
        <color rgb="FF000000"/>
        <rFont val="Calibri"/>
      </rPr>
      <t xml:space="preserve">  (x</t>
    </r>
    <r>
      <rPr>
        <b/>
        <vertAlign val="subscript"/>
        <sz val="14"/>
        <color rgb="FF000000"/>
        <rFont val="Calibri"/>
      </rPr>
      <t>i</t>
    </r>
    <r>
      <rPr>
        <b/>
        <sz val="14"/>
        <color rgb="FF000000"/>
        <rFont val="Calibri"/>
      </rPr>
      <t xml:space="preserve"> – x</t>
    </r>
    <r>
      <rPr>
        <b/>
        <sz val="14"/>
        <color rgb="FF000000"/>
        <rFont val="Symbol"/>
      </rPr>
      <t>¢</t>
    </r>
    <r>
      <rPr>
        <b/>
        <sz val="14"/>
        <color rgb="FF000000"/>
        <rFont val="Calibri"/>
      </rPr>
      <t>)</t>
    </r>
    <r>
      <rPr>
        <b/>
        <vertAlign val="superscript"/>
        <sz val="14"/>
        <color rgb="FF000000"/>
        <rFont val="Calibri"/>
      </rPr>
      <t>2</t>
    </r>
    <r>
      <rPr>
        <b/>
        <sz val="14"/>
        <color rgb="FF000000"/>
        <rFont val="Calibri"/>
      </rPr>
      <t xml:space="preserve"> </t>
    </r>
  </si>
  <si>
    <t>=</t>
  </si>
  <si>
    <r>
      <rPr>
        <b/>
        <sz val="14"/>
        <color rgb="FF000000"/>
        <rFont val="Noto Sans Symbols"/>
      </rPr>
      <t>b</t>
    </r>
    <r>
      <rPr>
        <b/>
        <sz val="14"/>
        <color rgb="FF000000"/>
        <rFont val="Calibri"/>
      </rPr>
      <t xml:space="preserve"> = y</t>
    </r>
    <r>
      <rPr>
        <b/>
        <sz val="14"/>
        <color rgb="FF000000"/>
        <rFont val="Symbol"/>
      </rPr>
      <t>¢</t>
    </r>
    <r>
      <rPr>
        <b/>
        <sz val="14"/>
        <color rgb="FF000000"/>
        <rFont val="Calibri"/>
      </rPr>
      <t xml:space="preserve"> - </t>
    </r>
    <r>
      <rPr>
        <b/>
        <sz val="14"/>
        <color rgb="FF000000"/>
        <rFont val="Symbol"/>
      </rPr>
      <t>a</t>
    </r>
    <r>
      <rPr>
        <b/>
        <sz val="14"/>
        <color rgb="FF000000"/>
        <rFont val="Calibri"/>
      </rPr>
      <t>x</t>
    </r>
    <r>
      <rPr>
        <b/>
        <sz val="14"/>
        <color rgb="FF000000"/>
        <rFont val="Symbol"/>
      </rPr>
      <t>¢</t>
    </r>
  </si>
  <si>
    <t>X (Years of Experience)</t>
  </si>
  <si>
    <t>Y (Salary in 1000 BDT)</t>
  </si>
  <si>
    <t>Lets say,</t>
  </si>
  <si>
    <t>X =</t>
  </si>
  <si>
    <t>y</t>
  </si>
  <si>
    <t>x</t>
  </si>
  <si>
    <t>x^2</t>
  </si>
  <si>
    <t>x*y</t>
  </si>
  <si>
    <t>Sum</t>
  </si>
  <si>
    <t>Mean</t>
  </si>
  <si>
    <t xml:space="preserve">x </t>
  </si>
  <si>
    <t>y_hat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</si>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</sst>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2"/>
      <color rgb="FF000000"/>
      <name val="Calibri"/>
    </font>
    <font>
      <sz val="14"/>
      <color theme="1"/>
      <name val="Calibri"/>
    </font>
    <font>
      <b/>
      <sz val="14"/>
      <color rgb="FF000000"/>
      <name val="Calibri"/>
    </font>
    <font>
      <b/>
      <sz val="14"/>
      <color theme="1"/>
      <name val="Calibri"/>
    </font>
    <font>
      <b/>
      <sz val="14"/>
      <color rgb="FF000000"/>
      <name val="Noto Sans Symbols"/>
    </font>
    <font>
      <b/>
      <sz val="12"/>
      <color rgb="FF000000"/>
      <name val="Symbol"/>
    </font>
    <font>
      <b/>
      <sz val="14"/>
      <color rgb="FF000000"/>
      <name val="Symbol"/>
    </font>
    <font>
      <b/>
      <vertAlign val="subscript"/>
      <sz val="14"/>
      <color rgb="FF000000"/>
      <name val="Calibri"/>
    </font>
    <font>
      <b/>
      <vertAlign val="superscript"/>
      <sz val="14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readingOrder="1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9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2</xdr:row>
      <xdr:rowOff>7620</xdr:rowOff>
    </xdr:from>
    <xdr:to>
      <xdr:col>10</xdr:col>
      <xdr:colOff>586950</xdr:colOff>
      <xdr:row>6</xdr:row>
      <xdr:rowOff>137240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8778EA-20A2-4484-BC5A-3821542CD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80" y="434340"/>
          <a:ext cx="2149050" cy="922100"/>
        </a:xfrm>
        <a:prstGeom prst="rect">
          <a:avLst/>
        </a:prstGeom>
      </xdr:spPr>
    </xdr:pic>
    <xdr:clientData/>
  </xdr:twoCellAnchor>
  <xdr:twoCellAnchor editAs="oneCell">
    <xdr:from>
      <xdr:col>8</xdr:col>
      <xdr:colOff>350521</xdr:colOff>
      <xdr:row>7</xdr:row>
      <xdr:rowOff>76200</xdr:rowOff>
    </xdr:from>
    <xdr:to>
      <xdr:col>10</xdr:col>
      <xdr:colOff>571501</xdr:colOff>
      <xdr:row>10</xdr:row>
      <xdr:rowOff>152463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C390C2-EE2F-4565-80E4-F80907A3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1" y="1493520"/>
          <a:ext cx="1440180" cy="670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20" zoomScaleNormal="120" workbookViewId="0">
      <selection activeCell="I10" sqref="I10"/>
    </sheetView>
  </sheetViews>
  <sheetFormatPr defaultColWidth="14.44140625" defaultRowHeight="15" customHeight="1"/>
  <cols>
    <col min="1" max="1" width="18.88671875" customWidth="1"/>
    <col min="2" max="2" width="19.33203125" customWidth="1"/>
    <col min="3" max="3" width="10.6640625" customWidth="1"/>
    <col min="4" max="4" width="16.21875" customWidth="1"/>
    <col min="5" max="5" width="12.5546875" customWidth="1"/>
    <col min="6" max="6" width="24.109375" customWidth="1"/>
    <col min="7" max="8" width="8.88671875" customWidth="1"/>
    <col min="9" max="9" width="11.44140625" customWidth="1"/>
    <col min="10" max="10" width="12.33203125" customWidth="1"/>
    <col min="11" max="26" width="8.6640625" customWidth="1"/>
  </cols>
  <sheetData>
    <row r="1" spans="1:26" s="21" customFormat="1" ht="14.4">
      <c r="A1" s="18" t="s">
        <v>13</v>
      </c>
      <c r="B1" s="19" t="s">
        <v>14</v>
      </c>
      <c r="C1" s="19" t="s">
        <v>0</v>
      </c>
      <c r="D1" s="19" t="s">
        <v>1</v>
      </c>
      <c r="E1" s="19" t="s">
        <v>2</v>
      </c>
      <c r="F1" s="19" t="s">
        <v>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25" customHeight="1">
      <c r="A2" s="2">
        <v>3</v>
      </c>
      <c r="B2" s="2">
        <v>30</v>
      </c>
      <c r="C2" s="2">
        <f t="shared" ref="C2:C11" si="0">A2-A$14</f>
        <v>-6.1</v>
      </c>
      <c r="D2" s="2">
        <f t="shared" ref="D2:D11" si="1">POWER(C2,2)</f>
        <v>37.209999999999994</v>
      </c>
      <c r="E2" s="2">
        <f t="shared" ref="E2:E11" si="2">B2-B$14</f>
        <v>-25.4</v>
      </c>
      <c r="F2" s="2">
        <f t="shared" ref="F2:F11" si="3">C2*E2</f>
        <v>154.93999999999997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2">
        <v>8</v>
      </c>
      <c r="B3" s="2">
        <v>57</v>
      </c>
      <c r="C3" s="2">
        <f t="shared" si="0"/>
        <v>-1.0999999999999996</v>
      </c>
      <c r="D3" s="2">
        <f t="shared" si="1"/>
        <v>1.2099999999999993</v>
      </c>
      <c r="E3" s="2">
        <f t="shared" si="2"/>
        <v>1.6000000000000014</v>
      </c>
      <c r="F3" s="2">
        <f t="shared" si="3"/>
        <v>-1.7600000000000009</v>
      </c>
      <c r="G3" s="1"/>
      <c r="H3" s="4" t="s">
        <v>4</v>
      </c>
      <c r="I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2">
        <v>9</v>
      </c>
      <c r="B4" s="2">
        <v>64</v>
      </c>
      <c r="C4" s="2">
        <f t="shared" si="0"/>
        <v>-9.9999999999999645E-2</v>
      </c>
      <c r="D4" s="2">
        <f t="shared" si="1"/>
        <v>9.9999999999999291E-3</v>
      </c>
      <c r="E4" s="2">
        <f t="shared" si="2"/>
        <v>8.6000000000000014</v>
      </c>
      <c r="F4" s="2">
        <f t="shared" si="3"/>
        <v>-0.8599999999999971</v>
      </c>
      <c r="G4" s="1"/>
      <c r="H4" s="1"/>
      <c r="I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">
        <v>13</v>
      </c>
      <c r="B5" s="2">
        <v>72</v>
      </c>
      <c r="C5" s="2">
        <f t="shared" si="0"/>
        <v>3.9000000000000004</v>
      </c>
      <c r="D5" s="5">
        <f t="shared" si="1"/>
        <v>15.210000000000003</v>
      </c>
      <c r="E5" s="2">
        <f t="shared" si="2"/>
        <v>16.600000000000001</v>
      </c>
      <c r="F5" s="2">
        <f t="shared" si="3"/>
        <v>64.740000000000009</v>
      </c>
      <c r="G5" s="1"/>
      <c r="H5" s="22" t="s">
        <v>15</v>
      </c>
      <c r="I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">
        <v>3</v>
      </c>
      <c r="B6" s="2">
        <v>36</v>
      </c>
      <c r="C6" s="2">
        <f t="shared" si="0"/>
        <v>-6.1</v>
      </c>
      <c r="D6" s="2">
        <f t="shared" si="1"/>
        <v>37.209999999999994</v>
      </c>
      <c r="E6" s="2">
        <f t="shared" si="2"/>
        <v>-19.399999999999999</v>
      </c>
      <c r="F6" s="2">
        <f t="shared" si="3"/>
        <v>118.33999999999999</v>
      </c>
      <c r="G6" s="1"/>
      <c r="H6" s="22" t="s">
        <v>16</v>
      </c>
      <c r="I6" s="22">
        <v>10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">
        <v>6</v>
      </c>
      <c r="B7" s="2">
        <v>43</v>
      </c>
      <c r="C7" s="2">
        <f t="shared" si="0"/>
        <v>-3.0999999999999996</v>
      </c>
      <c r="D7" s="2">
        <f t="shared" si="1"/>
        <v>9.6099999999999977</v>
      </c>
      <c r="E7" s="2">
        <f t="shared" si="2"/>
        <v>-12.399999999999999</v>
      </c>
      <c r="F7" s="2">
        <f t="shared" si="3"/>
        <v>38.439999999999991</v>
      </c>
      <c r="G7" s="1"/>
      <c r="H7" s="3" t="s">
        <v>5</v>
      </c>
      <c r="I7" s="3">
        <f>F18*I6+F20</f>
        <v>58.59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2">
        <v>11</v>
      </c>
      <c r="B8" s="2">
        <v>59</v>
      </c>
      <c r="C8" s="2">
        <f t="shared" si="0"/>
        <v>1.9000000000000004</v>
      </c>
      <c r="D8" s="2">
        <f t="shared" si="1"/>
        <v>3.6100000000000012</v>
      </c>
      <c r="E8" s="2">
        <f t="shared" si="2"/>
        <v>3.6000000000000014</v>
      </c>
      <c r="F8" s="2">
        <f t="shared" si="3"/>
        <v>6.8400000000000043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2">
        <v>21</v>
      </c>
      <c r="B9" s="2">
        <v>90</v>
      </c>
      <c r="C9" s="2">
        <f t="shared" si="0"/>
        <v>11.9</v>
      </c>
      <c r="D9" s="2">
        <f t="shared" si="1"/>
        <v>141.61000000000001</v>
      </c>
      <c r="E9" s="2">
        <f t="shared" si="2"/>
        <v>34.6</v>
      </c>
      <c r="F9" s="2">
        <f t="shared" si="3"/>
        <v>411.74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2">
        <v>1</v>
      </c>
      <c r="B10" s="2">
        <v>20</v>
      </c>
      <c r="C10" s="2">
        <f t="shared" si="0"/>
        <v>-8.1</v>
      </c>
      <c r="D10" s="2">
        <f t="shared" si="1"/>
        <v>65.61</v>
      </c>
      <c r="E10" s="2">
        <f t="shared" si="2"/>
        <v>-35.4</v>
      </c>
      <c r="F10" s="2">
        <f t="shared" si="3"/>
        <v>286.73999999999995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2">
        <v>16</v>
      </c>
      <c r="B11" s="2">
        <v>83</v>
      </c>
      <c r="C11" s="2">
        <f t="shared" si="0"/>
        <v>6.9</v>
      </c>
      <c r="D11" s="2">
        <f t="shared" si="1"/>
        <v>47.610000000000007</v>
      </c>
      <c r="E11" s="2">
        <f t="shared" si="2"/>
        <v>27.6</v>
      </c>
      <c r="F11" s="2">
        <f t="shared" si="3"/>
        <v>190.44000000000003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7" t="s">
        <v>6</v>
      </c>
      <c r="B13" s="8" t="s">
        <v>7</v>
      </c>
      <c r="C13" s="1"/>
      <c r="D13" s="9" t="s">
        <v>8</v>
      </c>
      <c r="E13" s="1"/>
      <c r="F13" s="10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1">
        <f t="shared" ref="A14:B14" si="4">AVERAGE(A2:A11)</f>
        <v>9.1</v>
      </c>
      <c r="B14" s="12">
        <f t="shared" si="4"/>
        <v>55.4</v>
      </c>
      <c r="C14" s="1"/>
      <c r="D14" s="13">
        <f>SUM(D2:D11)</f>
        <v>358.90000000000003</v>
      </c>
      <c r="E14" s="1"/>
      <c r="F14" s="14">
        <f>SUM(F2:F11)</f>
        <v>1269.6000000000001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>
      <c r="A18" s="1"/>
      <c r="B18" s="15" t="s">
        <v>10</v>
      </c>
      <c r="C18" s="16"/>
      <c r="D18" s="16"/>
      <c r="E18" s="3" t="s">
        <v>11</v>
      </c>
      <c r="F18" s="23">
        <f>ROUND(F14/D14, 2)</f>
        <v>3.54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16"/>
      <c r="C19" s="16"/>
      <c r="D19" s="16"/>
      <c r="E19" s="3"/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>
      <c r="A20" s="1"/>
      <c r="B20" s="17" t="s">
        <v>12</v>
      </c>
      <c r="C20" s="16"/>
      <c r="D20" s="16"/>
      <c r="E20" s="3" t="s">
        <v>11</v>
      </c>
      <c r="F20" s="23">
        <f>ROUND(B14-F18*A14,2)</f>
        <v>23.19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2911-6861-4A59-AE64-2AD2130E26CB}">
  <dimension ref="A1:M21"/>
  <sheetViews>
    <sheetView zoomScale="128" workbookViewId="0">
      <selection activeCell="L17" sqref="L17"/>
    </sheetView>
  </sheetViews>
  <sheetFormatPr defaultRowHeight="15.6"/>
  <cols>
    <col min="1" max="1" width="11.5546875" style="25" customWidth="1"/>
    <col min="2" max="2" width="13" style="25" customWidth="1"/>
    <col min="3" max="3" width="13.5546875" style="26" customWidth="1"/>
    <col min="4" max="4" width="14.21875" style="25" customWidth="1"/>
    <col min="5" max="5" width="11" style="25" customWidth="1"/>
    <col min="6" max="11" width="8.88671875" style="25"/>
    <col min="12" max="13" width="8.88671875" style="27"/>
    <col min="14" max="16384" width="8.88671875" style="25"/>
  </cols>
  <sheetData>
    <row r="1" spans="1:13" ht="18">
      <c r="B1" s="29" t="s">
        <v>18</v>
      </c>
      <c r="C1" s="29" t="s">
        <v>17</v>
      </c>
      <c r="D1" s="29" t="s">
        <v>19</v>
      </c>
      <c r="E1" s="29" t="s">
        <v>20</v>
      </c>
    </row>
    <row r="2" spans="1:13">
      <c r="B2" s="28">
        <v>41</v>
      </c>
      <c r="C2" s="28">
        <v>1250</v>
      </c>
      <c r="D2" s="28">
        <f>POWER(B2,2)</f>
        <v>1681</v>
      </c>
      <c r="E2" s="28">
        <f>PRODUCT(B2:C2)</f>
        <v>51250</v>
      </c>
    </row>
    <row r="3" spans="1:13">
      <c r="B3" s="28">
        <v>54</v>
      </c>
      <c r="C3" s="28">
        <v>1380</v>
      </c>
      <c r="D3" s="28">
        <f t="shared" ref="D3:D11" si="0">POWER(B3,2)</f>
        <v>2916</v>
      </c>
      <c r="E3" s="28">
        <f t="shared" ref="E3:E11" si="1">PRODUCT(B3:C3)</f>
        <v>74520</v>
      </c>
      <c r="K3" s="26"/>
    </row>
    <row r="4" spans="1:13">
      <c r="B4" s="28">
        <v>63</v>
      </c>
      <c r="C4" s="28">
        <v>1425</v>
      </c>
      <c r="D4" s="28">
        <f t="shared" si="0"/>
        <v>3969</v>
      </c>
      <c r="E4" s="28">
        <f t="shared" si="1"/>
        <v>89775</v>
      </c>
    </row>
    <row r="5" spans="1:13">
      <c r="B5" s="28">
        <v>54</v>
      </c>
      <c r="C5" s="28">
        <v>1425</v>
      </c>
      <c r="D5" s="28">
        <f t="shared" si="0"/>
        <v>2916</v>
      </c>
      <c r="E5" s="28">
        <f t="shared" si="1"/>
        <v>76950</v>
      </c>
      <c r="L5" s="27" t="s">
        <v>11</v>
      </c>
      <c r="M5" s="33">
        <f>ROUND((10*E12-PRODUCT(B12:C12))/(10*D12 - POWER(B12,2)), 1)</f>
        <v>10.8</v>
      </c>
    </row>
    <row r="6" spans="1:13">
      <c r="B6" s="28">
        <v>48</v>
      </c>
      <c r="C6" s="28">
        <v>1450</v>
      </c>
      <c r="D6" s="28">
        <f t="shared" si="0"/>
        <v>2304</v>
      </c>
      <c r="E6" s="28">
        <f t="shared" si="1"/>
        <v>69600</v>
      </c>
      <c r="K6" s="27"/>
    </row>
    <row r="7" spans="1:13">
      <c r="B7" s="28">
        <v>46</v>
      </c>
      <c r="C7" s="28">
        <v>1300</v>
      </c>
      <c r="D7" s="28">
        <f t="shared" si="0"/>
        <v>2116</v>
      </c>
      <c r="E7" s="28">
        <f t="shared" si="1"/>
        <v>59800</v>
      </c>
      <c r="K7" s="27"/>
    </row>
    <row r="8" spans="1:13">
      <c r="B8" s="28">
        <v>62</v>
      </c>
      <c r="C8" s="28">
        <v>1400</v>
      </c>
      <c r="D8" s="28">
        <f t="shared" si="0"/>
        <v>3844</v>
      </c>
      <c r="E8" s="28">
        <f t="shared" si="1"/>
        <v>86800</v>
      </c>
      <c r="K8" s="27"/>
    </row>
    <row r="9" spans="1:13">
      <c r="B9" s="28">
        <v>61</v>
      </c>
      <c r="C9" s="28">
        <v>1510</v>
      </c>
      <c r="D9" s="28">
        <f t="shared" si="0"/>
        <v>3721</v>
      </c>
      <c r="E9" s="28">
        <f t="shared" si="1"/>
        <v>92110</v>
      </c>
      <c r="K9" s="27"/>
    </row>
    <row r="10" spans="1:13">
      <c r="B10" s="28">
        <v>64</v>
      </c>
      <c r="C10" s="28">
        <v>1575</v>
      </c>
      <c r="D10" s="28">
        <f t="shared" si="0"/>
        <v>4096</v>
      </c>
      <c r="E10" s="28">
        <f t="shared" si="1"/>
        <v>100800</v>
      </c>
      <c r="K10" s="27"/>
      <c r="L10" s="27" t="s">
        <v>11</v>
      </c>
      <c r="M10" s="34">
        <f>ROUND(C13-M5*B13,1)</f>
        <v>827.4</v>
      </c>
    </row>
    <row r="11" spans="1:13">
      <c r="B11" s="28">
        <v>71</v>
      </c>
      <c r="C11" s="28">
        <v>1650</v>
      </c>
      <c r="D11" s="28">
        <f t="shared" si="0"/>
        <v>5041</v>
      </c>
      <c r="E11" s="28">
        <f t="shared" si="1"/>
        <v>117150</v>
      </c>
      <c r="K11" s="26"/>
    </row>
    <row r="12" spans="1:13">
      <c r="A12" s="30" t="s">
        <v>21</v>
      </c>
      <c r="B12" s="31">
        <f>SUM(B2:B11)</f>
        <v>564</v>
      </c>
      <c r="C12" s="31">
        <f>SUM(C2:C11)</f>
        <v>14365</v>
      </c>
      <c r="D12" s="31">
        <f>SUM(D2:D11)</f>
        <v>32604</v>
      </c>
      <c r="E12" s="31">
        <f>SUM(E2:E11)</f>
        <v>818755</v>
      </c>
    </row>
    <row r="13" spans="1:13">
      <c r="A13" s="35" t="s">
        <v>22</v>
      </c>
      <c r="B13" s="32">
        <f>AVERAGE(B2:B11)</f>
        <v>56.4</v>
      </c>
      <c r="C13" s="32">
        <f>AVERAGE(C2:C11)</f>
        <v>1436.5</v>
      </c>
    </row>
    <row r="14" spans="1:13">
      <c r="H14" s="25" t="s">
        <v>15</v>
      </c>
    </row>
    <row r="15" spans="1:13">
      <c r="H15" s="25" t="s">
        <v>23</v>
      </c>
      <c r="I15" s="25" t="s">
        <v>11</v>
      </c>
      <c r="J15" s="25" t="s">
        <v>25</v>
      </c>
    </row>
    <row r="16" spans="1:13">
      <c r="H16" s="25" t="s">
        <v>24</v>
      </c>
      <c r="I16" s="25" t="s">
        <v>11</v>
      </c>
      <c r="J16" s="25" t="e">
        <f>J15*M5+M10</f>
        <v>#VALUE!</v>
      </c>
    </row>
    <row r="19" spans="5:5">
      <c r="E19" s="27"/>
    </row>
    <row r="20" spans="5:5">
      <c r="E20" s="27"/>
    </row>
    <row r="21" spans="5:5">
      <c r="E21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Tanvir</dc:creator>
  <cp:lastModifiedBy>Raihan Tanvir</cp:lastModifiedBy>
  <dcterms:created xsi:type="dcterms:W3CDTF">2023-01-24T16:19:02Z</dcterms:created>
  <dcterms:modified xsi:type="dcterms:W3CDTF">2023-01-27T11:59:48Z</dcterms:modified>
</cp:coreProperties>
</file>